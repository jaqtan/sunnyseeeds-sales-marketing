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A327426DB570C28/Documents/"/>
    </mc:Choice>
  </mc:AlternateContent>
  <xr:revisionPtr revIDLastSave="1" documentId="8_{A1C446FA-CFEA-49E4-9FC9-3CD101B846AC}" xr6:coauthVersionLast="47" xr6:coauthVersionMax="47" xr10:uidLastSave="{D05EAC57-AB61-4B56-AA5C-3D75626F408B}"/>
  <bookViews>
    <workbookView xWindow="-120" yWindow="-120" windowWidth="29040" windowHeight="15840" tabRatio="500" activeTab="2" xr2:uid="{00000000-000D-0000-FFFF-FFFF00000000}"/>
  </bookViews>
  <sheets>
    <sheet name="Sales Funnel Dashboard" sheetId="1" r:id="rId1"/>
    <sheet name="Charts &amp; Analytics" sheetId="2" r:id="rId2"/>
    <sheet name="Monthly Tracking" sheetId="3" r:id="rId3"/>
    <sheet name="KPI Dashboard" sheetId="4" r:id="rId4"/>
    <sheet name="6-Month Forecast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3" l="1"/>
  <c r="C10" i="3"/>
  <c r="G8" i="5"/>
  <c r="F8" i="5"/>
  <c r="E8" i="5"/>
  <c r="D8" i="5"/>
  <c r="C8" i="5"/>
  <c r="B8" i="5"/>
  <c r="D41" i="4"/>
  <c r="D40" i="4"/>
  <c r="D36" i="4"/>
  <c r="B36" i="4"/>
  <c r="D35" i="4"/>
  <c r="B35" i="4"/>
  <c r="D34" i="4"/>
  <c r="B34" i="4"/>
  <c r="D33" i="4"/>
  <c r="B33" i="4"/>
  <c r="D29" i="4"/>
  <c r="B29" i="4"/>
  <c r="D28" i="4"/>
  <c r="B28" i="4"/>
  <c r="D27" i="4"/>
  <c r="B27" i="4"/>
  <c r="D26" i="4"/>
  <c r="B26" i="4"/>
  <c r="D22" i="4"/>
  <c r="B22" i="4"/>
  <c r="D21" i="4"/>
  <c r="B21" i="4"/>
  <c r="D20" i="4"/>
  <c r="B20" i="4"/>
  <c r="D19" i="4"/>
  <c r="B19" i="4"/>
  <c r="D15" i="4"/>
  <c r="B15" i="4"/>
  <c r="D14" i="4"/>
  <c r="B14" i="4"/>
  <c r="D13" i="4"/>
  <c r="B13" i="4"/>
  <c r="D12" i="4"/>
  <c r="B12" i="4"/>
  <c r="D8" i="4"/>
  <c r="B8" i="4"/>
  <c r="D7" i="4"/>
  <c r="B7" i="4"/>
  <c r="D6" i="4"/>
  <c r="B6" i="4"/>
  <c r="D5" i="4"/>
  <c r="B5" i="4"/>
  <c r="F10" i="3"/>
  <c r="E10" i="3"/>
  <c r="D10" i="3"/>
  <c r="B10" i="3"/>
  <c r="F45" i="1"/>
  <c r="B40" i="4" s="1"/>
  <c r="F44" i="1"/>
  <c r="F43" i="1"/>
  <c r="F38" i="1"/>
  <c r="F37" i="1"/>
  <c r="E37" i="1"/>
  <c r="D37" i="1"/>
  <c r="C37" i="1"/>
  <c r="B37" i="1"/>
  <c r="F36" i="1"/>
  <c r="F35" i="1"/>
  <c r="B41" i="4" s="1"/>
  <c r="F34" i="1"/>
  <c r="E34" i="1"/>
  <c r="D34" i="1"/>
  <c r="C34" i="1"/>
  <c r="B34" i="1"/>
  <c r="F30" i="1"/>
  <c r="E29" i="1"/>
  <c r="D29" i="1"/>
  <c r="C29" i="1"/>
  <c r="B29" i="1"/>
  <c r="F28" i="1"/>
  <c r="F29" i="1" s="1"/>
  <c r="F23" i="1"/>
  <c r="E23" i="1"/>
  <c r="D23" i="1"/>
  <c r="C23" i="1"/>
  <c r="B23" i="1"/>
  <c r="F22" i="1"/>
  <c r="F19" i="1"/>
  <c r="F18" i="1"/>
  <c r="E18" i="1"/>
  <c r="D18" i="1"/>
  <c r="C18" i="1"/>
  <c r="B18" i="1"/>
  <c r="F24" i="1" s="1"/>
  <c r="F16" i="1"/>
  <c r="F15" i="1"/>
  <c r="F11" i="1"/>
  <c r="E10" i="1"/>
  <c r="D10" i="1"/>
  <c r="C10" i="1"/>
  <c r="B10" i="1"/>
  <c r="F9" i="1"/>
  <c r="F10" i="1" s="1"/>
  <c r="F8" i="1"/>
  <c r="F7" i="1"/>
</calcChain>
</file>

<file path=xl/sharedStrings.xml><?xml version="1.0" encoding="utf-8"?>
<sst xmlns="http://schemas.openxmlformats.org/spreadsheetml/2006/main" count="138" uniqueCount="107">
  <si>
    <t>SUNNYSEEEDS ACADEMY - SALES FUNNEL DASHBOARD</t>
  </si>
  <si>
    <t>Updated: May 19, 2026</t>
  </si>
  <si>
    <t>PROGRAM:</t>
  </si>
  <si>
    <t>PRESCHOOL</t>
  </si>
  <si>
    <t>STORYSPARKS</t>
  </si>
  <si>
    <t>WEEKEND PLAYSCHOOL</t>
  </si>
  <si>
    <t>PRIMARY DAYCARE</t>
  </si>
  <si>
    <t>TOTAL</t>
  </si>
  <si>
    <t>━━━ STAGE 1: LEAD CAPTURE ━━━</t>
  </si>
  <si>
    <t>Total Leads (Inquiries)</t>
  </si>
  <si>
    <t xml:space="preserve">  → Organic Leads</t>
  </si>
  <si>
    <t>Target Leads</t>
  </si>
  <si>
    <t>Variance vs Target</t>
  </si>
  <si>
    <t xml:space="preserve">  → Paid Leads</t>
  </si>
  <si>
    <t xml:space="preserve">  → Partnership/Referral</t>
  </si>
  <si>
    <t>━━━ STAGE 2: TOUR/INTERVIEW ━━━</t>
  </si>
  <si>
    <t>School Tours Completed</t>
  </si>
  <si>
    <t>Tour-to-Interview Conversion %</t>
  </si>
  <si>
    <t>Target Tours</t>
  </si>
  <si>
    <t>Tour Variance %</t>
  </si>
  <si>
    <t>Interviews Conducted</t>
  </si>
  <si>
    <t>━━━ STAGE 3: OFFER ━━━</t>
  </si>
  <si>
    <t>Target Interviews</t>
  </si>
  <si>
    <t>Interview Variance %</t>
  </si>
  <si>
    <t>Offer Letters Sent</t>
  </si>
  <si>
    <t>Interview-to-Offer Conversion %</t>
  </si>
  <si>
    <t>━━━ STAGE 4: ENROLLMENT ━━━</t>
  </si>
  <si>
    <t>Target Offers</t>
  </si>
  <si>
    <t>Offer Variance %</t>
  </si>
  <si>
    <t>Enrollments Completed (this period)</t>
  </si>
  <si>
    <t>Offer-to-Enrollment Conversion %</t>
  </si>
  <si>
    <t>━━━ END-TO-END FUNNEL METRICS ━━━</t>
  </si>
  <si>
    <t>Total Leads (all sources)</t>
  </si>
  <si>
    <t>Total Enrollments (all stages combined)</t>
  </si>
  <si>
    <t>Target Enrollments</t>
  </si>
  <si>
    <t>Enrollment Variance %</t>
  </si>
  <si>
    <t>Overall Lead-to-Enrollment Rate %</t>
  </si>
  <si>
    <t>━━━ DROP-OFF ANALYSIS ━━━</t>
  </si>
  <si>
    <t>Leads Not Proceeding to Tour</t>
  </si>
  <si>
    <t>Tours to Interviews Drop-off %</t>
  </si>
  <si>
    <t>Interviews to Offers Drop-off %</t>
  </si>
  <si>
    <t>Offers to Enrollments Drop-off %</t>
  </si>
  <si>
    <t>SUNNYSEEEDS ACADEMY - SALES FUNNEL ANALYTICS</t>
  </si>
  <si>
    <t>KEY INSIGHTS &amp; ACTION ITEMS</t>
  </si>
  <si>
    <t>RED FLAGS</t>
  </si>
  <si>
    <t xml:space="preserve">  ✓ Drop-off % &gt; 30% at any stage</t>
  </si>
  <si>
    <t xml:space="preserve">  ✓ Variance &lt; -10% vs target</t>
  </si>
  <si>
    <t xml:space="preserve">  ✓ Conversion rate declining month-over-month</t>
  </si>
  <si>
    <t>OPTIMIZATION</t>
  </si>
  <si>
    <t xml:space="preserve">  ✓ Increase leads when conversion &gt; target</t>
  </si>
  <si>
    <t xml:space="preserve">  ✓ Improve tours when interview rate &lt; 50%</t>
  </si>
  <si>
    <t xml:space="preserve">  ✓ Follow up on offers within 3 days</t>
  </si>
  <si>
    <t>MONTHLY REVIEW</t>
  </si>
  <si>
    <t xml:space="preserve">  ✓ Update targets based on actuals</t>
  </si>
  <si>
    <t xml:space="preserve">  ✓ Analyze drop-off by reason</t>
  </si>
  <si>
    <t xml:space="preserve">  ✓ Adjust forecast if conversion rate changes &gt; 5%</t>
  </si>
  <si>
    <t>MONTHLY ENROLLMENT TRACKING</t>
  </si>
  <si>
    <t>Month</t>
  </si>
  <si>
    <t>StorySparks</t>
  </si>
  <si>
    <t>Weekend Playschool</t>
  </si>
  <si>
    <t>Primary Daycare</t>
  </si>
  <si>
    <t>Jan 2026</t>
  </si>
  <si>
    <t>Feb 2026</t>
  </si>
  <si>
    <t>Mar 2026</t>
  </si>
  <si>
    <t>Apr 2026</t>
  </si>
  <si>
    <t>May 2026</t>
  </si>
  <si>
    <t>Jun 2026</t>
  </si>
  <si>
    <t>TOTAL 6-MONTH</t>
  </si>
  <si>
    <t>SUNNYSEEEDS ACADEMY - KPI DASHBOARD</t>
  </si>
  <si>
    <t>LEAD GENERATION</t>
  </si>
  <si>
    <t>Total Leads</t>
  </si>
  <si>
    <t>=</t>
  </si>
  <si>
    <t>Target</t>
  </si>
  <si>
    <t>Variance</t>
  </si>
  <si>
    <t xml:space="preserve">  Preschool</t>
  </si>
  <si>
    <t xml:space="preserve">  StorySparks</t>
  </si>
  <si>
    <t xml:space="preserve">  Weekend Playschool</t>
  </si>
  <si>
    <t xml:space="preserve">  Primary Daycare</t>
  </si>
  <si>
    <t>TOUR COMPLETION</t>
  </si>
  <si>
    <t>INTERVIEW RATE</t>
  </si>
  <si>
    <t>OFFER RATE</t>
  </si>
  <si>
    <t>ENROLLMENT RATE</t>
  </si>
  <si>
    <t>Enrollments Completed</t>
  </si>
  <si>
    <t>OVERALL FUNNEL HEALTH</t>
  </si>
  <si>
    <t>Lead-to-Enrollment Rate %</t>
  </si>
  <si>
    <t>Total Monthly Enrollments</t>
  </si>
  <si>
    <t>ENROLLMENT FORECAST - 6 MONTHS</t>
  </si>
  <si>
    <t>Metric</t>
  </si>
  <si>
    <t>Jan</t>
  </si>
  <si>
    <t>Feb</t>
  </si>
  <si>
    <t>Mar</t>
  </si>
  <si>
    <t>Apr</t>
  </si>
  <si>
    <t>May</t>
  </si>
  <si>
    <t>Jun</t>
  </si>
  <si>
    <t>Preschool Enrollments</t>
  </si>
  <si>
    <t>StorySparks Enrollments</t>
  </si>
  <si>
    <t>Weekend Playschool Enrollments</t>
  </si>
  <si>
    <t>Primary Daycare Enrollments</t>
  </si>
  <si>
    <t>MONTHLY TOTAL</t>
  </si>
  <si>
    <t>CONVERSION RATE ASSUMPTIONS</t>
  </si>
  <si>
    <t>Lead-to-Tour %</t>
  </si>
  <si>
    <t>Tour-to-Interview %</t>
  </si>
  <si>
    <t>Interview-to-Offer %</t>
  </si>
  <si>
    <t>Offer-to-Enrollment %</t>
  </si>
  <si>
    <t>Preschool 1</t>
  </si>
  <si>
    <t>Preschool 2</t>
  </si>
  <si>
    <t>Fitness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</si>
</sst>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charset val="1"/>
    </font>
    <font>
      <b/>
      <sz val="14"/>
      <color rgb="FFFFFFFF"/>
      <name val="Cambria"/>
      <charset val="1"/>
    </font>
    <font>
      <i/>
      <sz val="9"/>
      <name val="Cambria"/>
      <charset val="1"/>
    </font>
    <font>
      <b/>
      <sz val="11"/>
      <name val="Cambria"/>
      <charset val="1"/>
    </font>
    <font>
      <b/>
      <sz val="11"/>
      <color rgb="FFFFFFFF"/>
      <name val="Cambria"/>
      <charset val="1"/>
    </font>
    <font>
      <sz val="11"/>
      <color rgb="FF0070C0"/>
      <name val="Cambria"/>
      <charset val="1"/>
    </font>
    <font>
      <sz val="11"/>
      <color rgb="FF000000"/>
      <name val="Cambria"/>
      <charset val="1"/>
    </font>
    <font>
      <b/>
      <i/>
      <sz val="11"/>
      <name val="Cambria"/>
      <charset val="1"/>
    </font>
    <font>
      <b/>
      <sz val="11"/>
      <color rgb="FF4472C4"/>
      <name val="Cambria"/>
      <charset val="1"/>
    </font>
    <font>
      <b/>
      <i/>
      <sz val="9"/>
      <name val="Cambria"/>
      <charset val="1"/>
    </font>
    <font>
      <b/>
      <sz val="11"/>
      <color rgb="FFC65911"/>
      <name val="Cambria"/>
      <charset val="1"/>
    </font>
    <font>
      <b/>
      <sz val="12"/>
      <color rgb="FFFFFFFF"/>
      <name val="Cambria"/>
      <charset val="1"/>
    </font>
    <font>
      <b/>
      <i/>
      <sz val="11"/>
      <color rgb="FFC65911"/>
      <name val="Cambria"/>
      <charset val="1"/>
    </font>
    <font>
      <i/>
      <sz val="11"/>
      <name val="Cambria"/>
      <charset val="1"/>
    </font>
    <font>
      <b/>
      <sz val="11"/>
      <color rgb="FF2D5016"/>
      <name val="Cambria"/>
      <charset val="1"/>
    </font>
    <font>
      <b/>
      <sz val="10"/>
      <color rgb="FFFFFFFF"/>
      <name val="Cambria"/>
      <charset val="1"/>
    </font>
  </fonts>
  <fills count="13">
    <fill>
      <patternFill patternType="none"/>
    </fill>
    <fill>
      <patternFill patternType="gray125"/>
    </fill>
    <fill>
      <patternFill patternType="solid">
        <fgColor rgb="FF2D5016"/>
        <bgColor rgb="FF003300"/>
      </patternFill>
    </fill>
    <fill>
      <patternFill patternType="solid">
        <fgColor rgb="FFFDB913"/>
        <bgColor rgb="FFFFFF00"/>
      </patternFill>
    </fill>
    <fill>
      <patternFill patternType="solid">
        <fgColor rgb="FF5B9BD5"/>
        <bgColor rgb="FF7E9BC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70AD47"/>
        <bgColor rgb="FF96B656"/>
      </patternFill>
    </fill>
    <fill>
      <patternFill patternType="solid">
        <fgColor rgb="FF92D050"/>
        <bgColor rgb="FF96B656"/>
      </patternFill>
    </fill>
    <fill>
      <patternFill patternType="solid">
        <fgColor rgb="FFFF6B35"/>
        <bgColor rgb="FFC65911"/>
      </patternFill>
    </fill>
    <fill>
      <patternFill patternType="solid">
        <fgColor rgb="FFC55A11"/>
        <bgColor rgb="FFC65911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5" fillId="4" borderId="0" xfId="0" applyFont="1" applyFill="1"/>
    <xf numFmtId="0" fontId="4" fillId="7" borderId="0" xfId="0" applyFont="1" applyFill="1"/>
    <xf numFmtId="0" fontId="11" fillId="4" borderId="0" xfId="0" applyFont="1" applyFill="1"/>
    <xf numFmtId="0" fontId="1" fillId="2" borderId="0" xfId="0" applyFont="1" applyFill="1"/>
    <xf numFmtId="0" fontId="7" fillId="0" borderId="2" xfId="0" applyFont="1" applyBorder="1"/>
    <xf numFmtId="0" fontId="0" fillId="0" borderId="2" xfId="0" applyBorder="1"/>
    <xf numFmtId="0" fontId="4" fillId="4" borderId="0" xfId="0" applyFont="1" applyFill="1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3" fillId="3" borderId="1" xfId="0" applyFont="1" applyFill="1" applyBorder="1" applyAlignment="1">
      <alignment horizontal="center"/>
    </xf>
    <xf numFmtId="0" fontId="4" fillId="4" borderId="0" xfId="0" applyFont="1" applyFill="1"/>
    <xf numFmtId="0" fontId="5" fillId="5" borderId="1" xfId="0" applyFont="1" applyFill="1" applyBorder="1"/>
    <xf numFmtId="0" fontId="6" fillId="0" borderId="1" xfId="0" applyFont="1" applyBorder="1"/>
    <xf numFmtId="0" fontId="7" fillId="0" borderId="0" xfId="0" applyFont="1"/>
    <xf numFmtId="0" fontId="8" fillId="6" borderId="1" xfId="0" applyFont="1" applyFill="1" applyBorder="1"/>
    <xf numFmtId="0" fontId="9" fillId="0" borderId="0" xfId="0" applyFont="1"/>
    <xf numFmtId="164" fontId="10" fillId="5" borderId="1" xfId="0" applyNumberFormat="1" applyFont="1" applyFill="1" applyBorder="1"/>
    <xf numFmtId="164" fontId="5" fillId="5" borderId="1" xfId="0" applyNumberFormat="1" applyFont="1" applyFill="1" applyBorder="1"/>
    <xf numFmtId="164" fontId="6" fillId="0" borderId="1" xfId="0" applyNumberFormat="1" applyFont="1" applyBorder="1"/>
    <xf numFmtId="10" fontId="6" fillId="0" borderId="1" xfId="0" applyNumberFormat="1" applyFont="1" applyBorder="1"/>
    <xf numFmtId="0" fontId="4" fillId="7" borderId="0" xfId="0" applyFont="1" applyFill="1"/>
    <xf numFmtId="0" fontId="4" fillId="8" borderId="1" xfId="0" applyFont="1" applyFill="1" applyBorder="1"/>
    <xf numFmtId="0" fontId="4" fillId="9" borderId="0" xfId="0" applyFont="1" applyFill="1"/>
    <xf numFmtId="164" fontId="4" fillId="8" borderId="1" xfId="0" applyNumberFormat="1" applyFont="1" applyFill="1" applyBorder="1"/>
    <xf numFmtId="0" fontId="4" fillId="10" borderId="0" xfId="0" applyFont="1" applyFill="1"/>
    <xf numFmtId="0" fontId="0" fillId="5" borderId="1" xfId="0" applyFill="1" applyBorder="1"/>
    <xf numFmtId="0" fontId="12" fillId="0" borderId="0" xfId="0" applyFont="1"/>
    <xf numFmtId="0" fontId="3" fillId="3" borderId="1" xfId="0" applyFont="1" applyFill="1" applyBorder="1"/>
    <xf numFmtId="0" fontId="0" fillId="0" borderId="1" xfId="0" applyBorder="1"/>
    <xf numFmtId="1" fontId="5" fillId="5" borderId="1" xfId="0" applyNumberFormat="1" applyFont="1" applyFill="1" applyBorder="1"/>
    <xf numFmtId="1" fontId="4" fillId="8" borderId="1" xfId="0" applyNumberFormat="1" applyFont="1" applyFill="1" applyBorder="1"/>
    <xf numFmtId="0" fontId="3" fillId="11" borderId="1" xfId="0" applyFont="1" applyFill="1" applyBorder="1"/>
    <xf numFmtId="0" fontId="13" fillId="0" borderId="0" xfId="0" applyFont="1"/>
    <xf numFmtId="1" fontId="0" fillId="12" borderId="1" xfId="0" applyNumberFormat="1" applyFill="1" applyBorder="1"/>
    <xf numFmtId="164" fontId="0" fillId="5" borderId="1" xfId="0" applyNumberFormat="1" applyFill="1" applyBorder="1"/>
    <xf numFmtId="164" fontId="4" fillId="8" borderId="0" xfId="0" applyNumberFormat="1" applyFont="1" applyFill="1"/>
    <xf numFmtId="0" fontId="8" fillId="6" borderId="0" xfId="0" applyFont="1" applyFill="1"/>
    <xf numFmtId="164" fontId="0" fillId="5" borderId="0" xfId="0" applyNumberFormat="1" applyFill="1"/>
    <xf numFmtId="1" fontId="4" fillId="8" borderId="0" xfId="0" applyNumberFormat="1" applyFont="1" applyFill="1"/>
    <xf numFmtId="0" fontId="14" fillId="0" borderId="0" xfId="0" applyFont="1"/>
    <xf numFmtId="0" fontId="4" fillId="8" borderId="0" xfId="0" applyFont="1" applyFill="1"/>
    <xf numFmtId="164" fontId="8" fillId="6" borderId="1" xfId="0" applyNumberFormat="1" applyFont="1" applyFill="1" applyBorder="1"/>
    <xf numFmtId="0" fontId="1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AD47"/>
      <rgbColor rgb="FF800080"/>
      <rgbColor rgb="FF3A608D"/>
      <rgbColor rgb="FFB5C3DB"/>
      <rgbColor rgb="FF738B42"/>
      <rgbColor rgb="FF5B9BD5"/>
      <rgbColor rgb="FF8F3B39"/>
      <rgbColor rgb="FFFFF2CC"/>
      <rgbColor rgb="FFD9E1F2"/>
      <rgbColor rgb="FF660066"/>
      <rgbColor rgb="FFC55A11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3E6595"/>
      <rgbColor rgb="FF0000FF"/>
      <rgbColor rgb="FF00CCFF"/>
      <rgbColor rgb="FFCCFFFF"/>
      <rgbColor rgb="FFE2EFDA"/>
      <rgbColor rgb="FFFFFF99"/>
      <rgbColor rgb="FF99CCFF"/>
      <rgbColor rgb="FFFF99CC"/>
      <rgbColor rgb="FFB3B3B3"/>
      <rgbColor rgb="FFFCE4D6"/>
      <rgbColor rgb="FF4472C4"/>
      <rgbColor rgb="FF4F81BD"/>
      <rgbColor rgb="FF92D050"/>
      <rgbColor rgb="FFFDB913"/>
      <rgbColor rgb="FF96B656"/>
      <rgbColor rgb="FFFF6B35"/>
      <rgbColor rgb="FF7C619D"/>
      <rgbColor rgb="FF7E9BC7"/>
      <rgbColor rgb="FF003366"/>
      <rgbColor rgb="FF4C7DB7"/>
      <rgbColor rgb="FF003300"/>
      <rgbColor rgb="FF2D5016"/>
      <rgbColor rgb="FFC65911"/>
      <rgbColor rgb="FFBA4D4A"/>
      <rgbColor rgb="FF5F4A78"/>
      <rgbColor rgb="FF4978B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MY" sz="1800" b="1" strike="noStrike" spc="-1">
                <a:solidFill>
                  <a:srgbClr val="000000"/>
                </a:solidFill>
                <a:latin typeface="Calibri"/>
              </a:rPr>
              <a:t>Monthly Enrollment Funnel - All Programs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Funnel Dashboard'!$A$8:$A$35</c:f>
              <c:strCache>
                <c:ptCount val="28"/>
                <c:pt idx="0">
                  <c:v>  → Organic Leads</c:v>
                </c:pt>
                <c:pt idx="1">
                  <c:v>Target Leads</c:v>
                </c:pt>
                <c:pt idx="2">
                  <c:v>Variance vs Target</c:v>
                </c:pt>
                <c:pt idx="3">
                  <c:v>  → Paid Leads</c:v>
                </c:pt>
                <c:pt idx="4">
                  <c:v>  → Partnership/Referral</c:v>
                </c:pt>
                <c:pt idx="6">
                  <c:v>━━━ STAGE 2: TOUR/INTERVIEW ━━━</c:v>
                </c:pt>
                <c:pt idx="7">
                  <c:v>School Tours Completed</c:v>
                </c:pt>
                <c:pt idx="8">
                  <c:v>Tour-to-Interview Conversion %</c:v>
                </c:pt>
                <c:pt idx="9">
                  <c:v>Target Tours</c:v>
                </c:pt>
                <c:pt idx="10">
                  <c:v>Tour Variance %</c:v>
                </c:pt>
                <c:pt idx="11">
                  <c:v>Interviews Conducted</c:v>
                </c:pt>
                <c:pt idx="13">
                  <c:v>━━━ STAGE 3: OFFER ━━━</c:v>
                </c:pt>
                <c:pt idx="14">
                  <c:v>Target Interviews</c:v>
                </c:pt>
                <c:pt idx="15">
                  <c:v>Interview Variance %</c:v>
                </c:pt>
                <c:pt idx="16">
                  <c:v>Offer Letters Sent</c:v>
                </c:pt>
                <c:pt idx="17">
                  <c:v>Interview-to-Offer Conversion %</c:v>
                </c:pt>
                <c:pt idx="19">
                  <c:v>━━━ STAGE 4: ENROLLMENT ━━━</c:v>
                </c:pt>
                <c:pt idx="20">
                  <c:v>Target Offers</c:v>
                </c:pt>
                <c:pt idx="21">
                  <c:v>Offer Variance %</c:v>
                </c:pt>
                <c:pt idx="22">
                  <c:v>Enrollments Completed (this period)</c:v>
                </c:pt>
                <c:pt idx="23">
                  <c:v>Offer-to-Enrollment Conversion %</c:v>
                </c:pt>
                <c:pt idx="25">
                  <c:v>━━━ END-TO-END FUNNEL METRICS ━━━</c:v>
                </c:pt>
                <c:pt idx="26">
                  <c:v>Total Leads (all sources)</c:v>
                </c:pt>
                <c:pt idx="27">
                  <c:v>Total Enrollments (all stages combined)</c:v>
                </c:pt>
              </c:strCache>
            </c:strRef>
          </c:cat>
          <c:val>
            <c:numRef>
              <c:f>'Sales Funnel Dashboard'!$F$7:$F$35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%">
                  <c:v>0</c:v>
                </c:pt>
                <c:pt idx="4">
                  <c:v>0</c:v>
                </c:pt>
                <c:pt idx="8">
                  <c:v>0</c:v>
                </c:pt>
                <c:pt idx="9" formatCode="0.0%">
                  <c:v>0</c:v>
                </c:pt>
                <c:pt idx="11" formatCode="0.0%">
                  <c:v>0</c:v>
                </c:pt>
                <c:pt idx="12">
                  <c:v>0</c:v>
                </c:pt>
                <c:pt idx="15">
                  <c:v>0</c:v>
                </c:pt>
                <c:pt idx="16" formatCode="0.0%">
                  <c:v>0</c:v>
                </c:pt>
                <c:pt idx="17" formatCode="0.00%">
                  <c:v>0</c:v>
                </c:pt>
                <c:pt idx="21">
                  <c:v>0</c:v>
                </c:pt>
                <c:pt idx="22" formatCode="0.0%">
                  <c:v>0</c:v>
                </c:pt>
                <c:pt idx="23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D-4EE5-85B0-CA87721CD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536409"/>
        <c:axId val="41289315"/>
      </c:barChart>
      <c:catAx>
        <c:axId val="325364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289315"/>
        <c:crosses val="autoZero"/>
        <c:auto val="1"/>
        <c:lblAlgn val="ctr"/>
        <c:lblOffset val="100"/>
        <c:noMultiLvlLbl val="0"/>
      </c:catAx>
      <c:valAx>
        <c:axId val="412893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MY" sz="1000" b="1" strike="noStrike" spc="-1">
                    <a:solidFill>
                      <a:srgbClr val="000000"/>
                    </a:solidFill>
                    <a:latin typeface="Calibri"/>
                  </a:rPr>
                  <a:t>Number of Prospects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5364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MY" sz="1800" b="1" strike="noStrike" spc="-1">
                <a:solidFill>
                  <a:srgbClr val="000000"/>
                </a:solidFill>
                <a:latin typeface="Calibri"/>
              </a:rPr>
              <a:t>Total Enrollments by Program (Current 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3E6595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'Sales Funnel Dashboard'!$B$35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4524-4381-8B8A-6CEF3D5A4ABE}"/>
            </c:ext>
          </c:extLst>
        </c:ser>
        <c:ser>
          <c:idx val="1"/>
          <c:order val="1"/>
          <c:spPr>
            <a:solidFill>
              <a:srgbClr val="4978B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'Sales Funnel Dashboard'!$C$35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4524-4381-8B8A-6CEF3D5A4ABE}"/>
            </c:ext>
          </c:extLst>
        </c:ser>
        <c:ser>
          <c:idx val="2"/>
          <c:order val="2"/>
          <c:spPr>
            <a:solidFill>
              <a:srgbClr val="7E9BC7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'Sales Funnel Dashboard'!$D$35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4524-4381-8B8A-6CEF3D5A4ABE}"/>
            </c:ext>
          </c:extLst>
        </c:ser>
        <c:ser>
          <c:idx val="3"/>
          <c:order val="3"/>
          <c:spPr>
            <a:solidFill>
              <a:srgbClr val="B5C3D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'Sales Funnel Dashboard'!$E$35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3-4524-4381-8B8A-6CEF3D5A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773276"/>
        <c:axId val="694512"/>
      </c:barChart>
      <c:catAx>
        <c:axId val="867732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4512"/>
        <c:crosses val="autoZero"/>
        <c:auto val="1"/>
        <c:lblAlgn val="ctr"/>
        <c:lblOffset val="100"/>
        <c:noMultiLvlLbl val="0"/>
      </c:catAx>
      <c:valAx>
        <c:axId val="6945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MY" sz="1000" b="1" strike="noStrike" spc="-1">
                    <a:solidFill>
                      <a:srgbClr val="000000"/>
                    </a:solidFill>
                    <a:latin typeface="Calibri"/>
                  </a:rPr>
                  <a:t>Enrollments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7732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MY" sz="1800" b="1" strike="noStrike" spc="-1">
                <a:solidFill>
                  <a:srgbClr val="000000"/>
                </a:solidFill>
                <a:latin typeface="Calibri"/>
              </a:rPr>
              <a:t>Key Conversion Rates by Program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'Sales Funnel Dashboard'!$B$20</c:f>
              <c:numCache>
                <c:formatCode>General</c:formatCode>
                <c:ptCount val="1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135-4DE9-995A-8CFC5D4F4997}"/>
            </c:ext>
          </c:extLst>
        </c:ser>
        <c:ser>
          <c:idx val="1"/>
          <c:order val="1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'Sales Funnel Dashboard'!$C$20</c:f>
              <c:numCache>
                <c:formatCode>General</c:formatCode>
                <c:ptCount val="1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135-4DE9-995A-8CFC5D4F4997}"/>
            </c:ext>
          </c:extLst>
        </c:ser>
        <c:ser>
          <c:idx val="2"/>
          <c:order val="2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'Sales Funnel Dashboard'!$D$20</c:f>
              <c:numCache>
                <c:formatCode>General</c:formatCode>
                <c:ptCount val="1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135-4DE9-995A-8CFC5D4F4997}"/>
            </c:ext>
          </c:extLst>
        </c:ser>
        <c:ser>
          <c:idx val="3"/>
          <c:order val="3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'Sales Funnel Dashboard'!$E$20</c:f>
              <c:numCache>
                <c:formatCode>General</c:formatCode>
                <c:ptCount val="1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135-4DE9-995A-8CFC5D4F4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8976907"/>
        <c:axId val="90677436"/>
      </c:lineChart>
      <c:catAx>
        <c:axId val="189769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MY" sz="1000" b="1" strike="noStrike" spc="-1">
                    <a:solidFill>
                      <a:srgbClr val="000000"/>
                    </a:solidFill>
                    <a:latin typeface="Calibri"/>
                  </a:rPr>
                  <a:t>Program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677436"/>
        <c:crosses val="autoZero"/>
        <c:auto val="1"/>
        <c:lblAlgn val="ctr"/>
        <c:lblOffset val="100"/>
        <c:noMultiLvlLbl val="0"/>
      </c:catAx>
      <c:valAx>
        <c:axId val="906774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MY" sz="1000" b="1" strike="noStrike" spc="-1">
                    <a:solidFill>
                      <a:srgbClr val="000000"/>
                    </a:solidFill>
                    <a:latin typeface="Calibri"/>
                  </a:rPr>
                  <a:t>Conversion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9769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MY" sz="1800" b="1" strike="noStrike" spc="-1">
                <a:solidFill>
                  <a:srgbClr val="000000"/>
                </a:solidFill>
                <a:latin typeface="Calibri"/>
              </a:rPr>
              <a:t>Enrollment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C6A-484E-9323-55A9C4365C5F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C6A-484E-9323-55A9C4365C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'Sales Funnel Dashboard'!$B$35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1C6A-484E-9323-55A9C4365C5F}"/>
            </c:ext>
          </c:extLst>
        </c:ser>
        <c:ser>
          <c:idx val="1"/>
          <c:order val="1"/>
          <c:spPr>
            <a:gradFill>
              <a:gsLst>
                <a:gs pos="0">
                  <a:srgbClr val="8F3B39"/>
                </a:gs>
                <a:gs pos="80000">
                  <a:srgbClr val="BA4D4A"/>
                </a:gs>
                <a:gs pos="100000">
                  <a:srgbClr val="BA4D4A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spPr>
              <a:gradFill>
                <a:gsLst>
                  <a:gs pos="0">
                    <a:srgbClr val="3A608D"/>
                  </a:gs>
                  <a:gs pos="80000">
                    <a:srgbClr val="4C7CB7"/>
                  </a:gs>
                  <a:gs pos="100000">
                    <a:srgbClr val="4C7DB7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1C6A-484E-9323-55A9C4365C5F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4-1C6A-484E-9323-55A9C4365C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'Sales Funnel Dashboard'!$C$35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5-1C6A-484E-9323-55A9C4365C5F}"/>
            </c:ext>
          </c:extLst>
        </c:ser>
        <c:ser>
          <c:idx val="2"/>
          <c:order val="2"/>
          <c:spPr>
            <a:gradFill>
              <a:gsLst>
                <a:gs pos="0">
                  <a:srgbClr val="738B42"/>
                </a:gs>
                <a:gs pos="80000">
                  <a:srgbClr val="96B556"/>
                </a:gs>
                <a:gs pos="100000">
                  <a:srgbClr val="96B656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spPr>
              <a:gradFill>
                <a:gsLst>
                  <a:gs pos="0">
                    <a:srgbClr val="3A608D"/>
                  </a:gs>
                  <a:gs pos="80000">
                    <a:srgbClr val="4C7CB7"/>
                  </a:gs>
                  <a:gs pos="100000">
                    <a:srgbClr val="4C7DB7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C6A-484E-9323-55A9C4365C5F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1C6A-484E-9323-55A9C4365C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'Sales Funnel Dashboard'!$D$35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1C6A-484E-9323-55A9C4365C5F}"/>
            </c:ext>
          </c:extLst>
        </c:ser>
        <c:ser>
          <c:idx val="3"/>
          <c:order val="3"/>
          <c:spPr>
            <a:gradFill>
              <a:gsLst>
                <a:gs pos="0">
                  <a:srgbClr val="5F4A78"/>
                </a:gs>
                <a:gs pos="80000">
                  <a:srgbClr val="7C609C"/>
                </a:gs>
                <a:gs pos="100000">
                  <a:srgbClr val="7C619D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spPr>
              <a:gradFill>
                <a:gsLst>
                  <a:gs pos="0">
                    <a:srgbClr val="3A608D"/>
                  </a:gs>
                  <a:gs pos="80000">
                    <a:srgbClr val="4C7CB7"/>
                  </a:gs>
                  <a:gs pos="100000">
                    <a:srgbClr val="4C7DB7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1C6A-484E-9323-55A9C4365C5F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1C6A-484E-9323-55A9C4365C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'Sales Funnel Dashboard'!$E$35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B-1C6A-484E-9323-55A9C4365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 rtl="0"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6480</xdr:colOff>
      <xdr:row>24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0</xdr:rowOff>
    </xdr:from>
    <xdr:to>
      <xdr:col>7</xdr:col>
      <xdr:colOff>6480</xdr:colOff>
      <xdr:row>44</xdr:row>
      <xdr:rowOff>128880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40</xdr:row>
      <xdr:rowOff>0</xdr:rowOff>
    </xdr:from>
    <xdr:to>
      <xdr:col>7</xdr:col>
      <xdr:colOff>6480</xdr:colOff>
      <xdr:row>62</xdr:row>
      <xdr:rowOff>128880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</xdr:row>
      <xdr:rowOff>0</xdr:rowOff>
    </xdr:from>
    <xdr:to>
      <xdr:col>10</xdr:col>
      <xdr:colOff>256320</xdr:colOff>
      <xdr:row>24</xdr:row>
      <xdr:rowOff>128520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zoomScaleNormal="100" workbookViewId="0">
      <selection sqref="A1:F1"/>
    </sheetView>
  </sheetViews>
  <sheetFormatPr defaultColWidth="8.7109375" defaultRowHeight="15" x14ac:dyDescent="0.25"/>
  <cols>
    <col min="1" max="1" width="28" customWidth="1"/>
    <col min="2" max="6" width="14" customWidth="1"/>
  </cols>
  <sheetData>
    <row r="1" spans="1:6" ht="24.75" customHeight="1" x14ac:dyDescent="0.25">
      <c r="A1" s="9" t="s">
        <v>0</v>
      </c>
      <c r="B1" s="9"/>
      <c r="C1" s="9"/>
      <c r="D1" s="9"/>
      <c r="E1" s="9"/>
      <c r="F1" s="9"/>
    </row>
    <row r="2" spans="1:6" ht="15" customHeight="1" x14ac:dyDescent="0.25">
      <c r="A2" s="8" t="s">
        <v>1</v>
      </c>
      <c r="B2" s="8"/>
      <c r="C2" s="8"/>
      <c r="D2" s="8"/>
      <c r="E2" s="8"/>
      <c r="F2" s="8"/>
    </row>
    <row r="4" spans="1:6" ht="15" customHeight="1" x14ac:dyDescent="0.25">
      <c r="A4" s="10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</row>
    <row r="6" spans="1:6" ht="15" customHeight="1" x14ac:dyDescent="0.25">
      <c r="A6" s="7" t="s">
        <v>8</v>
      </c>
      <c r="B6" s="7"/>
      <c r="C6" s="7"/>
      <c r="D6" s="7"/>
      <c r="E6" s="7"/>
      <c r="F6" s="7"/>
    </row>
    <row r="7" spans="1:6" ht="15" customHeight="1" x14ac:dyDescent="0.25">
      <c r="A7" t="s">
        <v>9</v>
      </c>
      <c r="B7" s="13"/>
      <c r="C7" s="13"/>
      <c r="D7" s="13"/>
      <c r="E7" s="13"/>
      <c r="F7" s="14">
        <f>SUM(B7:E7)</f>
        <v>0</v>
      </c>
    </row>
    <row r="8" spans="1:6" ht="15" customHeight="1" x14ac:dyDescent="0.25">
      <c r="A8" t="s">
        <v>10</v>
      </c>
      <c r="B8" s="13"/>
      <c r="C8" s="13"/>
      <c r="D8" s="13"/>
      <c r="E8" s="13"/>
      <c r="F8" s="14">
        <f>SUM(B8:E8)</f>
        <v>0</v>
      </c>
    </row>
    <row r="9" spans="1:6" ht="15" customHeight="1" x14ac:dyDescent="0.25">
      <c r="A9" s="15" t="s">
        <v>11</v>
      </c>
      <c r="B9" s="16"/>
      <c r="C9" s="16"/>
      <c r="D9" s="16"/>
      <c r="E9" s="16"/>
      <c r="F9" s="16">
        <f>SUM(B9:E9)</f>
        <v>0</v>
      </c>
    </row>
    <row r="10" spans="1:6" ht="15" customHeight="1" x14ac:dyDescent="0.25">
      <c r="A10" s="17" t="s">
        <v>12</v>
      </c>
      <c r="B10" s="18">
        <f>IF(B9=0,0,(B8-B9)/B9)</f>
        <v>0</v>
      </c>
      <c r="C10" s="18">
        <f>IF(B9=0,0,(C8-C9)/C9)</f>
        <v>0</v>
      </c>
      <c r="D10" s="18">
        <f>IF(B9=0,0,(D8-D9)/D9)</f>
        <v>0</v>
      </c>
      <c r="E10" s="18">
        <f>IF(B9=0,0,(E8-E9)/E9)</f>
        <v>0</v>
      </c>
      <c r="F10" s="18">
        <f>IF(F9=0,0,(F8-F9)/F9)</f>
        <v>0</v>
      </c>
    </row>
    <row r="11" spans="1:6" x14ac:dyDescent="0.25">
      <c r="A11" t="s">
        <v>13</v>
      </c>
      <c r="B11" s="13"/>
      <c r="C11" s="13"/>
      <c r="D11" s="13"/>
      <c r="E11" s="13"/>
      <c r="F11" s="14">
        <f>SUM(B9:E9)</f>
        <v>0</v>
      </c>
    </row>
    <row r="12" spans="1:6" ht="15" customHeight="1" x14ac:dyDescent="0.25">
      <c r="A12" s="6" t="s">
        <v>14</v>
      </c>
      <c r="B12" s="6"/>
      <c r="C12" s="6"/>
      <c r="D12" s="6"/>
      <c r="E12" s="6"/>
      <c r="F12" s="6"/>
    </row>
    <row r="13" spans="1:6" ht="15" customHeight="1" x14ac:dyDescent="0.25"/>
    <row r="14" spans="1:6" ht="15" customHeight="1" x14ac:dyDescent="0.25">
      <c r="A14" s="12" t="s">
        <v>15</v>
      </c>
    </row>
    <row r="15" spans="1:6" ht="15" customHeight="1" x14ac:dyDescent="0.25">
      <c r="A15" t="s">
        <v>16</v>
      </c>
      <c r="B15" s="13"/>
      <c r="C15" s="13"/>
      <c r="D15" s="13"/>
      <c r="E15" s="13"/>
      <c r="F15" s="14">
        <f>SUM(B13:E13)</f>
        <v>0</v>
      </c>
    </row>
    <row r="16" spans="1:6" x14ac:dyDescent="0.25">
      <c r="A16" t="s">
        <v>17</v>
      </c>
      <c r="B16" s="19"/>
      <c r="C16" s="19"/>
      <c r="D16" s="19"/>
      <c r="E16" s="19"/>
      <c r="F16" s="20">
        <f>IF(SUM(B13:E13)&gt;0,SUM(B15:E15)/SUM(B13:E13),0)</f>
        <v>0</v>
      </c>
    </row>
    <row r="17" spans="1:6" ht="15" customHeight="1" x14ac:dyDescent="0.25">
      <c r="A17" s="5" t="s">
        <v>18</v>
      </c>
      <c r="B17" s="5"/>
      <c r="C17" s="5"/>
      <c r="D17" s="5"/>
      <c r="E17" s="5"/>
      <c r="F17" s="5"/>
    </row>
    <row r="18" spans="1:6" ht="15" customHeight="1" x14ac:dyDescent="0.25">
      <c r="A18" s="17" t="s">
        <v>19</v>
      </c>
      <c r="B18" s="18">
        <f>IF(B17=0,0,(B16-B17)/B17)</f>
        <v>0</v>
      </c>
      <c r="C18" s="18">
        <f>IF(B17=0,0,(C16-C17)/C17)</f>
        <v>0</v>
      </c>
      <c r="D18" s="18">
        <f>IF(B17=0,0,(D16-D17)/D17)</f>
        <v>0</v>
      </c>
      <c r="E18" s="18">
        <f>IF(B17=0,0,(E16-E17)/E17)</f>
        <v>0</v>
      </c>
      <c r="F18" s="18">
        <f>IF(F17=0,0,(F16-F17)/F17)</f>
        <v>0</v>
      </c>
    </row>
    <row r="19" spans="1:6" ht="15" customHeight="1" x14ac:dyDescent="0.25">
      <c r="A19" t="s">
        <v>20</v>
      </c>
      <c r="B19" s="13"/>
      <c r="C19" s="13"/>
      <c r="D19" s="13"/>
      <c r="E19" s="13"/>
      <c r="F19" s="14">
        <f>SUM(B15:E15)</f>
        <v>0</v>
      </c>
    </row>
    <row r="21" spans="1:6" ht="15" customHeight="1" x14ac:dyDescent="0.25">
      <c r="A21" s="7" t="s">
        <v>21</v>
      </c>
      <c r="B21" s="7"/>
      <c r="C21" s="7"/>
      <c r="D21" s="7"/>
      <c r="E21" s="7"/>
      <c r="F21" s="7"/>
    </row>
    <row r="22" spans="1:6" ht="15" customHeight="1" x14ac:dyDescent="0.25">
      <c r="A22" s="15" t="s">
        <v>22</v>
      </c>
      <c r="B22" s="16"/>
      <c r="C22" s="16"/>
      <c r="D22" s="16"/>
      <c r="E22" s="16"/>
      <c r="F22" s="16">
        <f>SUM(B22:E22)</f>
        <v>0</v>
      </c>
    </row>
    <row r="23" spans="1:6" ht="15" customHeight="1" x14ac:dyDescent="0.25">
      <c r="A23" s="17" t="s">
        <v>23</v>
      </c>
      <c r="B23" s="18">
        <f>IF(B22=0,0,(B21-B22)/B22)</f>
        <v>0</v>
      </c>
      <c r="C23" s="18">
        <f>IF(B22=0,0,(C21-C22)/C22)</f>
        <v>0</v>
      </c>
      <c r="D23" s="18">
        <f>IF(B22=0,0,(D21-D22)/D22)</f>
        <v>0</v>
      </c>
      <c r="E23" s="18">
        <f>IF(B22=0,0,(E21-E22)/E22)</f>
        <v>0</v>
      </c>
      <c r="F23" s="18">
        <f>IF(F22=0,0,(F21-F22)/F22)</f>
        <v>0</v>
      </c>
    </row>
    <row r="24" spans="1:6" x14ac:dyDescent="0.25">
      <c r="A24" t="s">
        <v>24</v>
      </c>
      <c r="B24" s="13"/>
      <c r="C24" s="13"/>
      <c r="D24" s="13"/>
      <c r="E24" s="13"/>
      <c r="F24" s="21">
        <f>SUM(B18:E18)</f>
        <v>0</v>
      </c>
    </row>
    <row r="25" spans="1:6" ht="15" customHeight="1" x14ac:dyDescent="0.25">
      <c r="A25" s="6" t="s">
        <v>25</v>
      </c>
      <c r="B25" s="6"/>
      <c r="C25" s="6"/>
      <c r="D25" s="6"/>
      <c r="E25" s="6"/>
      <c r="F25" s="6"/>
    </row>
    <row r="26" spans="1:6" ht="15" customHeight="1" x14ac:dyDescent="0.25"/>
    <row r="27" spans="1:6" ht="15" customHeight="1" x14ac:dyDescent="0.25">
      <c r="A27" s="22" t="s">
        <v>26</v>
      </c>
    </row>
    <row r="28" spans="1:6" ht="15" customHeight="1" x14ac:dyDescent="0.25">
      <c r="A28" s="15" t="s">
        <v>27</v>
      </c>
      <c r="B28" s="16"/>
      <c r="C28" s="16"/>
      <c r="D28" s="16"/>
      <c r="E28" s="16"/>
      <c r="F28" s="16">
        <f>SUM(B28:E28)</f>
        <v>0</v>
      </c>
    </row>
    <row r="29" spans="1:6" x14ac:dyDescent="0.25">
      <c r="A29" s="17" t="s">
        <v>28</v>
      </c>
      <c r="B29" s="18">
        <f>IF(B28=0,0,(B27-B28)/B28)</f>
        <v>0</v>
      </c>
      <c r="C29" s="18">
        <f>IF(B28=0,0,(C27-C28)/C28)</f>
        <v>0</v>
      </c>
      <c r="D29" s="18">
        <f>IF(B28=0,0,(D27-D28)/D28)</f>
        <v>0</v>
      </c>
      <c r="E29" s="18">
        <f>IF(B28=0,0,(E27-E28)/E28)</f>
        <v>0</v>
      </c>
      <c r="F29" s="18">
        <f>IF(F28=0,0,(F27-F28)/F28)</f>
        <v>0</v>
      </c>
    </row>
    <row r="30" spans="1:6" x14ac:dyDescent="0.25">
      <c r="A30" t="s">
        <v>29</v>
      </c>
      <c r="B30" s="23"/>
      <c r="C30" s="23"/>
      <c r="D30" s="23"/>
      <c r="E30" s="23"/>
      <c r="F30" s="23">
        <f>SUM(B22:E22)</f>
        <v>0</v>
      </c>
    </row>
    <row r="31" spans="1:6" ht="15" customHeight="1" x14ac:dyDescent="0.25">
      <c r="A31" s="6" t="s">
        <v>30</v>
      </c>
      <c r="B31" s="6"/>
      <c r="C31" s="6"/>
      <c r="D31" s="6"/>
      <c r="E31" s="6"/>
      <c r="F31" s="6"/>
    </row>
    <row r="32" spans="1:6" ht="15" customHeight="1" x14ac:dyDescent="0.25"/>
    <row r="33" spans="1:6" ht="15" customHeight="1" x14ac:dyDescent="0.25">
      <c r="A33" s="24" t="s">
        <v>31</v>
      </c>
    </row>
    <row r="34" spans="1:6" ht="15" customHeight="1" x14ac:dyDescent="0.25">
      <c r="A34" t="s">
        <v>32</v>
      </c>
      <c r="B34" s="13">
        <f>B8</f>
        <v>0</v>
      </c>
      <c r="C34" s="13">
        <f>C8</f>
        <v>0</v>
      </c>
      <c r="D34" s="13">
        <f>D8</f>
        <v>0</v>
      </c>
      <c r="E34" s="13">
        <f>E8</f>
        <v>0</v>
      </c>
      <c r="F34" s="14">
        <f>SUM(B26:E26)</f>
        <v>0</v>
      </c>
    </row>
    <row r="35" spans="1:6" ht="15" customHeight="1" x14ac:dyDescent="0.25">
      <c r="A35" t="s">
        <v>33</v>
      </c>
      <c r="B35" s="23"/>
      <c r="C35" s="23"/>
      <c r="D35" s="23"/>
      <c r="E35" s="23"/>
      <c r="F35" s="23">
        <f>SUM(B27:E27)</f>
        <v>0</v>
      </c>
    </row>
    <row r="36" spans="1:6" x14ac:dyDescent="0.25">
      <c r="A36" s="15" t="s">
        <v>34</v>
      </c>
      <c r="B36" s="16"/>
      <c r="C36" s="16"/>
      <c r="D36" s="16"/>
      <c r="E36" s="16"/>
      <c r="F36" s="16">
        <f>SUM(B36:E36)</f>
        <v>0</v>
      </c>
    </row>
    <row r="37" spans="1:6" x14ac:dyDescent="0.25">
      <c r="A37" s="17" t="s">
        <v>35</v>
      </c>
      <c r="B37" s="18">
        <f>IF(B36=0,0,(B35-B36)/B36)</f>
        <v>0</v>
      </c>
      <c r="C37" s="18">
        <f>IF(B36=0,0,(C35-C36)/C36)</f>
        <v>0</v>
      </c>
      <c r="D37" s="18">
        <f>IF(B36=0,0,(D35-D36)/D36)</f>
        <v>0</v>
      </c>
      <c r="E37" s="18">
        <f>IF(B36=0,0,(E35-E36)/E36)</f>
        <v>0</v>
      </c>
      <c r="F37" s="18">
        <f>IF(F36=0,0,(F35-F36)/F36)</f>
        <v>0</v>
      </c>
    </row>
    <row r="38" spans="1:6" x14ac:dyDescent="0.25">
      <c r="A38" t="s">
        <v>36</v>
      </c>
      <c r="B38" s="25"/>
      <c r="C38" s="25"/>
      <c r="D38" s="25"/>
      <c r="E38" s="25"/>
      <c r="F38" s="25">
        <f>IF(F26&gt;0,F27/F26,0)</f>
        <v>0</v>
      </c>
    </row>
    <row r="41" spans="1:6" x14ac:dyDescent="0.25">
      <c r="A41" s="26" t="s">
        <v>37</v>
      </c>
    </row>
    <row r="42" spans="1:6" x14ac:dyDescent="0.25">
      <c r="A42" t="s">
        <v>38</v>
      </c>
      <c r="B42" s="27"/>
      <c r="C42" s="27"/>
      <c r="D42" s="27"/>
      <c r="E42" s="27"/>
      <c r="F42" s="27"/>
    </row>
    <row r="43" spans="1:6" x14ac:dyDescent="0.25">
      <c r="A43" t="s">
        <v>39</v>
      </c>
      <c r="B43" s="19"/>
      <c r="C43" s="19"/>
      <c r="D43" s="19"/>
      <c r="E43" s="19"/>
      <c r="F43" s="20">
        <f>IF(SUM(B13:E13)&gt;0,1-SUM(B15:E15)/SUM(B13:E13),0)</f>
        <v>0</v>
      </c>
    </row>
    <row r="44" spans="1:6" x14ac:dyDescent="0.25">
      <c r="A44" t="s">
        <v>40</v>
      </c>
      <c r="B44" s="19"/>
      <c r="C44" s="19"/>
      <c r="D44" s="19"/>
      <c r="E44" s="19"/>
      <c r="F44" s="20">
        <f>IF(SUM(B15:E15)&gt;0,1-SUM(B18:E18)/SUM(B15:E15),0)</f>
        <v>0</v>
      </c>
    </row>
    <row r="45" spans="1:6" x14ac:dyDescent="0.25">
      <c r="A45" t="s">
        <v>41</v>
      </c>
      <c r="B45" s="19"/>
      <c r="C45" s="19"/>
      <c r="D45" s="19"/>
      <c r="E45" s="19"/>
      <c r="F45" s="20">
        <f>IF(SUM(B18:E18)&gt;0,1-SUM(B22:E22)/SUM(B18:E18),0)</f>
        <v>0</v>
      </c>
    </row>
  </sheetData>
  <mergeCells count="8">
    <mergeCell ref="A21:F21"/>
    <mergeCell ref="A25:F25"/>
    <mergeCell ref="A31:F31"/>
    <mergeCell ref="A1:F1"/>
    <mergeCell ref="A2:F2"/>
    <mergeCell ref="A6:F6"/>
    <mergeCell ref="A12:F12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5"/>
  <sheetViews>
    <sheetView topLeftCell="A12" zoomScaleNormal="100" workbookViewId="0">
      <selection sqref="A1:E1"/>
    </sheetView>
  </sheetViews>
  <sheetFormatPr defaultColWidth="8.7109375" defaultRowHeight="15" x14ac:dyDescent="0.25"/>
  <cols>
    <col min="1" max="1" width="50" customWidth="1"/>
  </cols>
  <sheetData>
    <row r="1" spans="1:5" ht="24.75" customHeight="1" x14ac:dyDescent="0.25">
      <c r="A1" s="4" t="s">
        <v>42</v>
      </c>
      <c r="B1" s="4"/>
      <c r="C1" s="4"/>
      <c r="D1" s="4"/>
      <c r="E1" s="4"/>
    </row>
    <row r="60" spans="1:5" ht="15.75" x14ac:dyDescent="0.25">
      <c r="A60" s="3" t="s">
        <v>43</v>
      </c>
      <c r="B60" s="3"/>
      <c r="C60" s="3"/>
      <c r="D60" s="3"/>
      <c r="E60" s="3"/>
    </row>
    <row r="62" spans="1:5" x14ac:dyDescent="0.25">
      <c r="A62" s="28" t="s">
        <v>44</v>
      </c>
    </row>
    <row r="63" spans="1:5" x14ac:dyDescent="0.25">
      <c r="A63" t="s">
        <v>45</v>
      </c>
    </row>
    <row r="64" spans="1:5" x14ac:dyDescent="0.25">
      <c r="A64" t="s">
        <v>46</v>
      </c>
    </row>
    <row r="65" spans="1:1" x14ac:dyDescent="0.25">
      <c r="A65" t="s">
        <v>47</v>
      </c>
    </row>
    <row r="67" spans="1:1" x14ac:dyDescent="0.25">
      <c r="A67" s="28" t="s">
        <v>48</v>
      </c>
    </row>
    <row r="68" spans="1:1" x14ac:dyDescent="0.25">
      <c r="A68" t="s">
        <v>49</v>
      </c>
    </row>
    <row r="69" spans="1:1" x14ac:dyDescent="0.25">
      <c r="A69" t="s">
        <v>50</v>
      </c>
    </row>
    <row r="70" spans="1:1" x14ac:dyDescent="0.25">
      <c r="A70" t="s">
        <v>51</v>
      </c>
    </row>
    <row r="72" spans="1:1" x14ac:dyDescent="0.25">
      <c r="A72" s="28" t="s">
        <v>52</v>
      </c>
    </row>
    <row r="73" spans="1:1" x14ac:dyDescent="0.25">
      <c r="A73" t="s">
        <v>53</v>
      </c>
    </row>
    <row r="74" spans="1:1" x14ac:dyDescent="0.25">
      <c r="A74" t="s">
        <v>54</v>
      </c>
    </row>
    <row r="75" spans="1:1" x14ac:dyDescent="0.25">
      <c r="A75" t="s">
        <v>55</v>
      </c>
    </row>
  </sheetData>
  <mergeCells count="2">
    <mergeCell ref="A1:E1"/>
    <mergeCell ref="A60:E6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tabSelected="1" zoomScaleNormal="100" workbookViewId="0">
      <selection activeCell="G3" sqref="G3"/>
    </sheetView>
  </sheetViews>
  <sheetFormatPr defaultColWidth="8.7109375" defaultRowHeight="15" x14ac:dyDescent="0.25"/>
  <cols>
    <col min="1" max="1" width="27.7109375" customWidth="1"/>
    <col min="2" max="4" width="18" customWidth="1"/>
    <col min="5" max="5" width="22.28515625" bestFit="1" customWidth="1"/>
    <col min="6" max="7" width="25.42578125" customWidth="1"/>
  </cols>
  <sheetData>
    <row r="1" spans="1:7" ht="15" customHeight="1" x14ac:dyDescent="0.25">
      <c r="A1" s="44" t="s">
        <v>56</v>
      </c>
      <c r="B1" s="44"/>
      <c r="C1" s="44"/>
      <c r="D1" s="44"/>
      <c r="E1" s="44"/>
      <c r="F1" s="44"/>
      <c r="G1" s="44"/>
    </row>
    <row r="3" spans="1:7" ht="15" customHeight="1" x14ac:dyDescent="0.25">
      <c r="A3" s="29" t="s">
        <v>57</v>
      </c>
      <c r="B3" s="29" t="s">
        <v>104</v>
      </c>
      <c r="C3" s="29" t="s">
        <v>105</v>
      </c>
      <c r="D3" s="29" t="s">
        <v>58</v>
      </c>
      <c r="E3" s="29" t="s">
        <v>59</v>
      </c>
      <c r="F3" s="29" t="s">
        <v>60</v>
      </c>
      <c r="G3" s="29" t="s">
        <v>106</v>
      </c>
    </row>
    <row r="4" spans="1:7" ht="15" customHeight="1" x14ac:dyDescent="0.25">
      <c r="A4" s="30" t="s">
        <v>61</v>
      </c>
      <c r="B4" s="31"/>
      <c r="C4" s="31"/>
      <c r="D4" s="31"/>
      <c r="E4" s="31"/>
      <c r="F4" s="31"/>
      <c r="G4" s="31"/>
    </row>
    <row r="5" spans="1:7" ht="15" customHeight="1" x14ac:dyDescent="0.25">
      <c r="A5" s="30" t="s">
        <v>62</v>
      </c>
      <c r="B5" s="31"/>
      <c r="C5" s="31"/>
      <c r="D5" s="31"/>
      <c r="E5" s="31"/>
      <c r="F5" s="31"/>
      <c r="G5" s="31"/>
    </row>
    <row r="6" spans="1:7" ht="15" customHeight="1" x14ac:dyDescent="0.25">
      <c r="A6" s="30" t="s">
        <v>63</v>
      </c>
      <c r="B6" s="31"/>
      <c r="C6" s="31"/>
      <c r="D6" s="31"/>
      <c r="E6" s="31"/>
      <c r="F6" s="31"/>
      <c r="G6" s="31"/>
    </row>
    <row r="7" spans="1:7" ht="15" customHeight="1" x14ac:dyDescent="0.25">
      <c r="A7" s="30" t="s">
        <v>64</v>
      </c>
      <c r="B7" s="31"/>
      <c r="C7" s="31"/>
      <c r="D7" s="31"/>
      <c r="E7" s="31"/>
      <c r="F7" s="31"/>
      <c r="G7" s="31"/>
    </row>
    <row r="8" spans="1:7" ht="15" customHeight="1" x14ac:dyDescent="0.25">
      <c r="A8" s="30" t="s">
        <v>65</v>
      </c>
      <c r="B8" s="31"/>
      <c r="C8" s="31"/>
      <c r="D8" s="31"/>
      <c r="E8" s="31"/>
      <c r="F8" s="31"/>
      <c r="G8" s="31"/>
    </row>
    <row r="9" spans="1:7" ht="15" customHeight="1" x14ac:dyDescent="0.25">
      <c r="A9" s="30" t="s">
        <v>66</v>
      </c>
      <c r="B9" s="31"/>
      <c r="C9" s="31"/>
      <c r="D9" s="31"/>
      <c r="E9" s="31"/>
      <c r="F9" s="31"/>
      <c r="G9" s="31"/>
    </row>
    <row r="10" spans="1:7" ht="15" customHeight="1" x14ac:dyDescent="0.25">
      <c r="A10" s="10" t="s">
        <v>67</v>
      </c>
      <c r="B10" s="32">
        <f>SUM(B4:B9)</f>
        <v>0</v>
      </c>
      <c r="C10" s="32">
        <f>SUM(C4:C9)</f>
        <v>0</v>
      </c>
      <c r="D10" s="32">
        <f>SUM(D4:D9)</f>
        <v>0</v>
      </c>
      <c r="E10" s="32">
        <f>SUM(E4:E9)</f>
        <v>0</v>
      </c>
      <c r="F10" s="32">
        <f>SUM(F4:F9)</f>
        <v>0</v>
      </c>
      <c r="G10" s="32">
        <f>SUM(G4:G9)</f>
        <v>0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zoomScaleNormal="100" workbookViewId="0"/>
  </sheetViews>
  <sheetFormatPr defaultColWidth="8.7109375" defaultRowHeight="15" x14ac:dyDescent="0.25"/>
  <cols>
    <col min="1" max="1" width="32" customWidth="1"/>
    <col min="2" max="4" width="16" customWidth="1"/>
  </cols>
  <sheetData>
    <row r="1" spans="1:4" ht="24.75" customHeight="1" x14ac:dyDescent="0.25">
      <c r="A1" s="9" t="s">
        <v>68</v>
      </c>
      <c r="B1" s="9"/>
      <c r="C1" s="9"/>
      <c r="D1" s="9"/>
    </row>
    <row r="3" spans="1:4" x14ac:dyDescent="0.25">
      <c r="A3" s="7" t="s">
        <v>69</v>
      </c>
      <c r="B3" s="7"/>
      <c r="C3" s="7"/>
      <c r="D3" s="7"/>
    </row>
    <row r="4" spans="1:4" x14ac:dyDescent="0.25">
      <c r="A4" t="s">
        <v>70</v>
      </c>
      <c r="B4" s="33" t="s">
        <v>71</v>
      </c>
      <c r="C4" s="33" t="s">
        <v>72</v>
      </c>
      <c r="D4" s="33" t="s">
        <v>73</v>
      </c>
    </row>
    <row r="5" spans="1:4" x14ac:dyDescent="0.25">
      <c r="A5" s="34" t="s">
        <v>74</v>
      </c>
      <c r="B5" s="35">
        <f>'Sales Funnel Dashboard'!B8</f>
        <v>0</v>
      </c>
      <c r="C5" s="16"/>
      <c r="D5" s="36">
        <f>IF(C5=0,0,(B5-C5)/C5)</f>
        <v>0</v>
      </c>
    </row>
    <row r="6" spans="1:4" x14ac:dyDescent="0.25">
      <c r="A6" s="34" t="s">
        <v>75</v>
      </c>
      <c r="B6" s="35">
        <f>'Sales Funnel Dashboard'!C8</f>
        <v>0</v>
      </c>
      <c r="C6" s="16"/>
      <c r="D6" s="36">
        <f>IF(C6=0,0,(B6-C6)/C6)</f>
        <v>0</v>
      </c>
    </row>
    <row r="7" spans="1:4" x14ac:dyDescent="0.25">
      <c r="A7" s="34" t="s">
        <v>76</v>
      </c>
      <c r="B7" s="35">
        <f>'Sales Funnel Dashboard'!D8</f>
        <v>0</v>
      </c>
      <c r="C7" s="16"/>
      <c r="D7" s="36">
        <f>IF(C7=0,0,(B7-C7)/C7)</f>
        <v>0</v>
      </c>
    </row>
    <row r="8" spans="1:4" x14ac:dyDescent="0.25">
      <c r="A8" s="34" t="s">
        <v>77</v>
      </c>
      <c r="B8" s="35">
        <f>'Sales Funnel Dashboard'!E8</f>
        <v>0</v>
      </c>
      <c r="C8" s="16"/>
      <c r="D8" s="36">
        <f>IF(C8=0,0,(B8-C8)/C8)</f>
        <v>0</v>
      </c>
    </row>
    <row r="10" spans="1:4" x14ac:dyDescent="0.25">
      <c r="A10" s="7" t="s">
        <v>78</v>
      </c>
      <c r="B10" s="7"/>
      <c r="C10" s="7"/>
      <c r="D10" s="7"/>
    </row>
    <row r="11" spans="1:4" x14ac:dyDescent="0.25">
      <c r="A11" t="s">
        <v>16</v>
      </c>
      <c r="B11" s="33" t="s">
        <v>71</v>
      </c>
      <c r="C11" s="33" t="s">
        <v>72</v>
      </c>
      <c r="D11" s="33" t="s">
        <v>73</v>
      </c>
    </row>
    <row r="12" spans="1:4" x14ac:dyDescent="0.25">
      <c r="A12" s="34" t="s">
        <v>74</v>
      </c>
      <c r="B12" s="35">
        <f>'Sales Funnel Dashboard'!B16</f>
        <v>0</v>
      </c>
      <c r="C12" s="16"/>
      <c r="D12" s="36">
        <f>IF(C12=0,0,(B12-C12)/C12)</f>
        <v>0</v>
      </c>
    </row>
    <row r="13" spans="1:4" x14ac:dyDescent="0.25">
      <c r="A13" s="34" t="s">
        <v>75</v>
      </c>
      <c r="B13" s="35">
        <f>'Sales Funnel Dashboard'!C16</f>
        <v>0</v>
      </c>
      <c r="C13" s="16"/>
      <c r="D13" s="36">
        <f>IF(C13=0,0,(B13-C13)/C13)</f>
        <v>0</v>
      </c>
    </row>
    <row r="14" spans="1:4" x14ac:dyDescent="0.25">
      <c r="A14" s="34" t="s">
        <v>76</v>
      </c>
      <c r="B14" s="35">
        <f>'Sales Funnel Dashboard'!D16</f>
        <v>0</v>
      </c>
      <c r="C14" s="16"/>
      <c r="D14" s="36">
        <f>IF(C14=0,0,(B14-C14)/C14)</f>
        <v>0</v>
      </c>
    </row>
    <row r="15" spans="1:4" x14ac:dyDescent="0.25">
      <c r="A15" s="34" t="s">
        <v>77</v>
      </c>
      <c r="B15" s="35">
        <f>'Sales Funnel Dashboard'!E16</f>
        <v>0</v>
      </c>
      <c r="C15" s="16"/>
      <c r="D15" s="36">
        <f>IF(C15=0,0,(B15-C15)/C15)</f>
        <v>0</v>
      </c>
    </row>
    <row r="17" spans="1:4" x14ac:dyDescent="0.25">
      <c r="A17" s="7" t="s">
        <v>79</v>
      </c>
      <c r="B17" s="7"/>
      <c r="C17" s="7"/>
      <c r="D17" s="7"/>
    </row>
    <row r="18" spans="1:4" x14ac:dyDescent="0.25">
      <c r="A18" t="s">
        <v>20</v>
      </c>
      <c r="B18" s="33" t="s">
        <v>71</v>
      </c>
      <c r="C18" s="33" t="s">
        <v>72</v>
      </c>
      <c r="D18" s="33" t="s">
        <v>73</v>
      </c>
    </row>
    <row r="19" spans="1:4" x14ac:dyDescent="0.25">
      <c r="A19" s="34" t="s">
        <v>74</v>
      </c>
      <c r="B19" s="35">
        <f>'Sales Funnel Dashboard'!B19</f>
        <v>0</v>
      </c>
      <c r="C19" s="16"/>
      <c r="D19" s="36">
        <f>IF(C19=0,0,(B19-C19)/C19)</f>
        <v>0</v>
      </c>
    </row>
    <row r="20" spans="1:4" x14ac:dyDescent="0.25">
      <c r="A20" s="34" t="s">
        <v>75</v>
      </c>
      <c r="B20" s="35">
        <f>'Sales Funnel Dashboard'!C19</f>
        <v>0</v>
      </c>
      <c r="C20" s="16"/>
      <c r="D20" s="36">
        <f>IF(C20=0,0,(B20-C20)/C20)</f>
        <v>0</v>
      </c>
    </row>
    <row r="21" spans="1:4" x14ac:dyDescent="0.25">
      <c r="A21" s="34" t="s">
        <v>76</v>
      </c>
      <c r="B21" s="35">
        <f>'Sales Funnel Dashboard'!D19</f>
        <v>0</v>
      </c>
      <c r="C21" s="16"/>
      <c r="D21" s="36">
        <f>IF(C21=0,0,(B21-C21)/C21)</f>
        <v>0</v>
      </c>
    </row>
    <row r="22" spans="1:4" x14ac:dyDescent="0.25">
      <c r="A22" s="34" t="s">
        <v>77</v>
      </c>
      <c r="B22" s="35">
        <f>'Sales Funnel Dashboard'!E19</f>
        <v>0</v>
      </c>
      <c r="C22" s="16"/>
      <c r="D22" s="36">
        <f>IF(C22=0,0,(B22-C22)/C22)</f>
        <v>0</v>
      </c>
    </row>
    <row r="24" spans="1:4" x14ac:dyDescent="0.25">
      <c r="A24" s="7" t="s">
        <v>80</v>
      </c>
      <c r="B24" s="7"/>
      <c r="C24" s="7"/>
      <c r="D24" s="7"/>
    </row>
    <row r="25" spans="1:4" x14ac:dyDescent="0.25">
      <c r="A25" t="s">
        <v>24</v>
      </c>
      <c r="B25" s="33" t="s">
        <v>71</v>
      </c>
      <c r="C25" s="33" t="s">
        <v>72</v>
      </c>
      <c r="D25" s="33" t="s">
        <v>73</v>
      </c>
    </row>
    <row r="26" spans="1:4" x14ac:dyDescent="0.25">
      <c r="A26" s="34" t="s">
        <v>74</v>
      </c>
      <c r="B26" s="35">
        <f>'Sales Funnel Dashboard'!B27</f>
        <v>0</v>
      </c>
      <c r="C26" s="16"/>
      <c r="D26" s="36">
        <f>IF(C26=0,0,(B26-C26)/C26)</f>
        <v>0</v>
      </c>
    </row>
    <row r="27" spans="1:4" x14ac:dyDescent="0.25">
      <c r="A27" s="34" t="s">
        <v>75</v>
      </c>
      <c r="B27" s="35">
        <f>'Sales Funnel Dashboard'!C27</f>
        <v>0</v>
      </c>
      <c r="C27" s="16"/>
      <c r="D27" s="36">
        <f>IF(C27=0,0,(B27-C27)/C27)</f>
        <v>0</v>
      </c>
    </row>
    <row r="28" spans="1:4" x14ac:dyDescent="0.25">
      <c r="A28" s="34" t="s">
        <v>76</v>
      </c>
      <c r="B28" s="35">
        <f>'Sales Funnel Dashboard'!D27</f>
        <v>0</v>
      </c>
      <c r="C28" s="16"/>
      <c r="D28" s="36">
        <f>IF(C28=0,0,(B28-C28)/C28)</f>
        <v>0</v>
      </c>
    </row>
    <row r="29" spans="1:4" x14ac:dyDescent="0.25">
      <c r="A29" s="34" t="s">
        <v>77</v>
      </c>
      <c r="B29" s="35">
        <f>'Sales Funnel Dashboard'!E27</f>
        <v>0</v>
      </c>
      <c r="C29" s="16"/>
      <c r="D29" s="36">
        <f>IF(C29=0,0,(B29-C29)/C29)</f>
        <v>0</v>
      </c>
    </row>
    <row r="31" spans="1:4" x14ac:dyDescent="0.25">
      <c r="A31" s="7" t="s">
        <v>81</v>
      </c>
      <c r="B31" s="7"/>
      <c r="C31" s="7"/>
      <c r="D31" s="7"/>
    </row>
    <row r="32" spans="1:4" x14ac:dyDescent="0.25">
      <c r="A32" t="s">
        <v>82</v>
      </c>
      <c r="B32" s="33" t="s">
        <v>71</v>
      </c>
      <c r="C32" s="33" t="s">
        <v>72</v>
      </c>
      <c r="D32" s="33" t="s">
        <v>73</v>
      </c>
    </row>
    <row r="33" spans="1:4" x14ac:dyDescent="0.25">
      <c r="A33" s="34" t="s">
        <v>74</v>
      </c>
      <c r="B33" s="35">
        <f>'Sales Funnel Dashboard'!B35</f>
        <v>0</v>
      </c>
      <c r="C33" s="16"/>
      <c r="D33" s="36">
        <f>IF(C33=0,0,(B33-C33)/C33)</f>
        <v>0</v>
      </c>
    </row>
    <row r="34" spans="1:4" x14ac:dyDescent="0.25">
      <c r="A34" s="34" t="s">
        <v>75</v>
      </c>
      <c r="B34" s="35">
        <f>'Sales Funnel Dashboard'!C35</f>
        <v>0</v>
      </c>
      <c r="C34" s="16"/>
      <c r="D34" s="36">
        <f>IF(C34=0,0,(B34-C34)/C34)</f>
        <v>0</v>
      </c>
    </row>
    <row r="35" spans="1:4" x14ac:dyDescent="0.25">
      <c r="A35" s="34" t="s">
        <v>76</v>
      </c>
      <c r="B35" s="35">
        <f>'Sales Funnel Dashboard'!D35</f>
        <v>0</v>
      </c>
      <c r="C35" s="16"/>
      <c r="D35" s="36">
        <f>IF(C35=0,0,(B35-C35)/C35)</f>
        <v>0</v>
      </c>
    </row>
    <row r="36" spans="1:4" x14ac:dyDescent="0.25">
      <c r="A36" s="34" t="s">
        <v>77</v>
      </c>
      <c r="B36" s="35">
        <f>'Sales Funnel Dashboard'!E35</f>
        <v>0</v>
      </c>
      <c r="C36" s="16"/>
      <c r="D36" s="36">
        <f>IF(C36=0,0,(B36-C36)/C36)</f>
        <v>0</v>
      </c>
    </row>
    <row r="39" spans="1:4" x14ac:dyDescent="0.25">
      <c r="A39" s="2" t="s">
        <v>83</v>
      </c>
      <c r="B39" s="2"/>
      <c r="C39" s="2"/>
      <c r="D39" s="2"/>
    </row>
    <row r="40" spans="1:4" x14ac:dyDescent="0.25">
      <c r="A40" t="s">
        <v>84</v>
      </c>
      <c r="B40" s="37">
        <f>'Sales Funnel Dashboard'!F45</f>
        <v>0</v>
      </c>
      <c r="C40" s="38"/>
      <c r="D40" s="39">
        <f>IF(C40=0,0,(B40-C40)/C40)</f>
        <v>0</v>
      </c>
    </row>
    <row r="41" spans="1:4" x14ac:dyDescent="0.25">
      <c r="A41" t="s">
        <v>85</v>
      </c>
      <c r="B41" s="40">
        <f>'Sales Funnel Dashboard'!F35</f>
        <v>0</v>
      </c>
      <c r="C41" s="38"/>
      <c r="D41" s="39">
        <f>IF(C41=0,0,(B41-C41)/C41)</f>
        <v>0</v>
      </c>
    </row>
  </sheetData>
  <mergeCells count="7">
    <mergeCell ref="A31:D31"/>
    <mergeCell ref="A39:D39"/>
    <mergeCell ref="A1:D1"/>
    <mergeCell ref="A3:D3"/>
    <mergeCell ref="A10:D10"/>
    <mergeCell ref="A17:D17"/>
    <mergeCell ref="A24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zoomScaleNormal="100" workbookViewId="0">
      <selection sqref="A1:G1"/>
    </sheetView>
  </sheetViews>
  <sheetFormatPr defaultColWidth="8.7109375" defaultRowHeight="15" x14ac:dyDescent="0.25"/>
  <cols>
    <col min="1" max="1" width="18" customWidth="1"/>
    <col min="2" max="7" width="14" customWidth="1"/>
  </cols>
  <sheetData>
    <row r="1" spans="1:7" ht="24.75" customHeight="1" x14ac:dyDescent="0.25">
      <c r="A1" s="9" t="s">
        <v>86</v>
      </c>
      <c r="B1" s="9"/>
      <c r="C1" s="9"/>
      <c r="D1" s="9"/>
      <c r="E1" s="9"/>
      <c r="F1" s="9"/>
      <c r="G1" s="9"/>
    </row>
    <row r="3" spans="1:7" x14ac:dyDescent="0.25">
      <c r="A3" s="30" t="s">
        <v>87</v>
      </c>
      <c r="B3" s="11" t="s">
        <v>88</v>
      </c>
      <c r="C3" s="11" t="s">
        <v>89</v>
      </c>
      <c r="D3" s="11" t="s">
        <v>90</v>
      </c>
      <c r="E3" s="11" t="s">
        <v>91</v>
      </c>
      <c r="F3" s="11" t="s">
        <v>92</v>
      </c>
      <c r="G3" s="11" t="s">
        <v>93</v>
      </c>
    </row>
    <row r="4" spans="1:7" x14ac:dyDescent="0.25">
      <c r="A4" s="41" t="s">
        <v>94</v>
      </c>
      <c r="B4" s="16"/>
      <c r="C4" s="16"/>
      <c r="D4" s="16"/>
      <c r="E4" s="16"/>
      <c r="F4" s="16"/>
      <c r="G4" s="16"/>
    </row>
    <row r="5" spans="1:7" x14ac:dyDescent="0.25">
      <c r="A5" s="41" t="s">
        <v>95</v>
      </c>
      <c r="B5" s="16"/>
      <c r="C5" s="16"/>
      <c r="D5" s="16"/>
      <c r="E5" s="16"/>
      <c r="F5" s="16"/>
      <c r="G5" s="16"/>
    </row>
    <row r="6" spans="1:7" x14ac:dyDescent="0.25">
      <c r="A6" s="41" t="s">
        <v>96</v>
      </c>
      <c r="B6" s="16"/>
      <c r="C6" s="16"/>
      <c r="D6" s="16"/>
      <c r="E6" s="16"/>
      <c r="F6" s="16"/>
      <c r="G6" s="16"/>
    </row>
    <row r="7" spans="1:7" x14ac:dyDescent="0.25">
      <c r="A7" s="41" t="s">
        <v>97</v>
      </c>
      <c r="B7" s="16"/>
      <c r="C7" s="16"/>
      <c r="D7" s="16"/>
      <c r="E7" s="16"/>
      <c r="F7" s="16"/>
      <c r="G7" s="16"/>
    </row>
    <row r="8" spans="1:7" x14ac:dyDescent="0.25">
      <c r="A8" s="42" t="s">
        <v>98</v>
      </c>
      <c r="B8" s="32">
        <f t="shared" ref="B8:G8" si="0">SUM(B4:B7)</f>
        <v>0</v>
      </c>
      <c r="C8" s="32">
        <f t="shared" si="0"/>
        <v>0</v>
      </c>
      <c r="D8" s="32">
        <f t="shared" si="0"/>
        <v>0</v>
      </c>
      <c r="E8" s="32">
        <f t="shared" si="0"/>
        <v>0</v>
      </c>
      <c r="F8" s="32">
        <f t="shared" si="0"/>
        <v>0</v>
      </c>
      <c r="G8" s="32">
        <f t="shared" si="0"/>
        <v>0</v>
      </c>
    </row>
    <row r="10" spans="1:7" x14ac:dyDescent="0.25">
      <c r="A10" s="1" t="s">
        <v>99</v>
      </c>
      <c r="B10" s="1"/>
      <c r="C10" s="1"/>
      <c r="D10" s="1"/>
      <c r="E10" s="1"/>
      <c r="F10" s="1"/>
      <c r="G10" s="1"/>
    </row>
    <row r="11" spans="1:7" x14ac:dyDescent="0.25">
      <c r="A11" t="s">
        <v>100</v>
      </c>
      <c r="B11" s="43"/>
    </row>
    <row r="12" spans="1:7" x14ac:dyDescent="0.25">
      <c r="A12" t="s">
        <v>101</v>
      </c>
      <c r="B12" s="43"/>
    </row>
    <row r="13" spans="1:7" x14ac:dyDescent="0.25">
      <c r="A13" t="s">
        <v>102</v>
      </c>
      <c r="B13" s="43"/>
    </row>
    <row r="14" spans="1:7" x14ac:dyDescent="0.25">
      <c r="A14" t="s">
        <v>103</v>
      </c>
      <c r="B14" s="43"/>
    </row>
  </sheetData>
  <mergeCells count="2">
    <mergeCell ref="A1:G1"/>
    <mergeCell ref="A10:G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Funnel Dashboard</vt:lpstr>
      <vt:lpstr>Charts &amp; Analytics</vt:lpstr>
      <vt:lpstr>Monthly Tracking</vt:lpstr>
      <vt:lpstr>KPI Dashboard</vt:lpstr>
      <vt:lpstr>6-Month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Jaqueline Tan</cp:lastModifiedBy>
  <cp:revision>1</cp:revision>
  <dcterms:created xsi:type="dcterms:W3CDTF">2026-05-19T02:08:42Z</dcterms:created>
  <dcterms:modified xsi:type="dcterms:W3CDTF">2026-05-19T04:48:20Z</dcterms:modified>
  <dc:language>en-US</dc:language>
</cp:coreProperties>
</file>